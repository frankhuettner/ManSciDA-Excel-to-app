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frankhuettner/GitHub/ManSciDA/"/>
    </mc:Choice>
  </mc:AlternateContent>
  <xr:revisionPtr revIDLastSave="0" documentId="13_ncr:1_{9C030431-EACD-4541-A689-3C7541242BE2}" xr6:coauthVersionLast="47" xr6:coauthVersionMax="47" xr10:uidLastSave="{00000000-0000-0000-0000-000000000000}"/>
  <bookViews>
    <workbookView xWindow="0" yWindow="660" windowWidth="30240" windowHeight="17900" xr2:uid="{00000000-000D-0000-FFFF-FFFF00000000}"/>
  </bookViews>
  <sheets>
    <sheet name="(e)" sheetId="21" r:id="rId1"/>
    <sheet name="3.SetUpSoftConstraints_STS" sheetId="12" state="veryHidden" r:id="rId2"/>
    <sheet name="1.PortfolioMgmt_STS" sheetId="7" state="veryHidden" r:id="rId3"/>
  </sheets>
  <definedNames>
    <definedName name="solver_adj" localSheetId="0" hidden="1">'(e)'!$B$18:$E$18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'(e)'!$B$18:$D$18</definedName>
    <definedName name="solver_lhs2" localSheetId="0" hidden="1">'(e)'!$B$22</definedName>
    <definedName name="solver_lhs3" localSheetId="0" hidden="1">'(e)'!$B$22:$B$23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'(e)'!$B$26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el3" localSheetId="0" hidden="1">3</definedName>
    <definedName name="solver_rhs1" localSheetId="0" hidden="1">'(e)'!$B$20:$D$20</definedName>
    <definedName name="solver_rhs2" localSheetId="0" hidden="1">'(e)'!$D$22</definedName>
    <definedName name="solver_rhs3" localSheetId="0" hidden="1">'(e)'!$D$22:$D$23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21" l="1"/>
  <c r="B23" i="21" a="1"/>
  <c r="B23" i="21" s="1"/>
  <c r="B22" i="21"/>
  <c r="G8" i="21" a="1"/>
  <c r="G8" i="21" s="1"/>
  <c r="H8" i="21" s="1" a="1"/>
  <c r="H8" i="21" s="1"/>
  <c r="C13" i="21" s="1" a="1"/>
  <c r="C13" i="21" s="1"/>
  <c r="B26" i="21" s="1"/>
  <c r="C26" i="21" s="1"/>
  <c r="E8" i="21"/>
  <c r="D8" i="21"/>
  <c r="H7" i="21"/>
  <c r="H7" i="21" a="1"/>
  <c r="E5" i="21"/>
  <c r="E4" i="21"/>
  <c r="E3" i="21"/>
  <c r="E2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<sst xmlns="http://schemas.openxmlformats.org/spreadsheetml/2006/main" count="50" uniqueCount="29">
  <si>
    <t>A</t>
  </si>
  <si>
    <t>B</t>
  </si>
  <si>
    <t>C</t>
  </si>
  <si>
    <t>Stock</t>
  </si>
  <si>
    <t>Return</t>
  </si>
  <si>
    <t>Sigma</t>
  </si>
  <si>
    <t>Data</t>
  </si>
  <si>
    <t>Correlation</t>
  </si>
  <si>
    <t>Investment</t>
  </si>
  <si>
    <t>=</t>
  </si>
  <si>
    <t>DVs</t>
  </si>
  <si>
    <t>Constraints</t>
  </si>
  <si>
    <t>Objective</t>
  </si>
  <si>
    <t>Risk</t>
  </si>
  <si>
    <t>Variance</t>
  </si>
  <si>
    <t>Covarianz</t>
  </si>
  <si>
    <t>Standard Deviation</t>
  </si>
  <si>
    <t>Broadcasted sigmas</t>
  </si>
  <si>
    <t>$D$26</t>
  </si>
  <si>
    <t>$C$29</t>
  </si>
  <si>
    <t>1.PortfolioMgmt'!$A$33:$A$73</t>
  </si>
  <si>
    <t>$I$16</t>
  </si>
  <si>
    <t>$I$21,$B$11</t>
  </si>
  <si>
    <t>importance boxes</t>
  </si>
  <si>
    <t>Prob. sum to 100%</t>
  </si>
  <si>
    <t>Sharpe Ratio</t>
  </si>
  <si>
    <t>≥</t>
  </si>
  <si>
    <t>Target Return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</si>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</sst>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8">
    <xf numFmtId="0" fontId="0" fillId="0" borderId="0" xfId="0"/>
    <xf numFmtId="9" fontId="0" fillId="0" borderId="0" xfId="1" applyFont="1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2" applyAlignment="1">
      <alignment horizontal="center"/>
    </xf>
    <xf numFmtId="10" fontId="1" fillId="2" borderId="0" xfId="1" applyNumberFormat="1" applyFill="1" applyAlignment="1">
      <alignment horizontal="center"/>
    </xf>
    <xf numFmtId="164" fontId="0" fillId="0" borderId="0" xfId="1" applyNumberFormat="1" applyFont="1"/>
    <xf numFmtId="164" fontId="0" fillId="0" borderId="0" xfId="0" applyNumberFormat="1"/>
    <xf numFmtId="0" fontId="1" fillId="3" borderId="0" xfId="3"/>
    <xf numFmtId="0" fontId="0" fillId="0" borderId="0" xfId="0" applyAlignment="1">
      <alignment horizontal="right"/>
    </xf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9" fontId="1" fillId="4" borderId="0" xfId="1" applyFill="1"/>
    <xf numFmtId="0" fontId="0" fillId="0" borderId="0" xfId="0" applyAlignment="1">
      <alignment wrapText="1"/>
    </xf>
    <xf numFmtId="9" fontId="1" fillId="2" borderId="0" xfId="2" applyNumberFormat="1" applyAlignment="1">
      <alignment horizontal="center"/>
    </xf>
    <xf numFmtId="165" fontId="0" fillId="0" borderId="0" xfId="1" applyNumberFormat="1" applyFont="1"/>
  </cellXfs>
  <cellStyles count="4">
    <cellStyle name="40% - Accent5" xfId="2" builtinId="47"/>
    <cellStyle name="40% - Accent6" xfId="3" builtinId="51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49389</xdr:colOff>
      <xdr:row>29</xdr:row>
      <xdr:rowOff>141111</xdr:rowOff>
    </xdr:from>
    <xdr:to>
      <xdr:col>10</xdr:col>
      <xdr:colOff>632178</xdr:colOff>
      <xdr:row>58</xdr:row>
      <xdr:rowOff>79223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D3C777-1719-5667-05D8-5170DEBDD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89" y="5884333"/>
          <a:ext cx="7772400" cy="54626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8837AC7-E1DB-3640-B7E6-860031814A51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6C56C-4E32-374C-BE71-17F7FA335391}">
  <dimension ref="A1:J73"/>
  <sheetViews>
    <sheetView tabSelected="1" topLeftCell="A8" zoomScale="180" zoomScaleNormal="180" workbookViewId="0">
      <selection activeCell="H22" sqref="H22"/>
    </sheetView>
  </sheetViews>
  <sheetFormatPr baseColWidth="10" defaultColWidth="8.83203125" defaultRowHeight="15" x14ac:dyDescent="0.2"/>
  <cols>
    <col min="1" max="1" width="15" bestFit="1" customWidth="1"/>
    <col min="2" max="2" width="9.83203125" bestFit="1" customWidth="1"/>
    <col min="4" max="4" width="8" bestFit="1" customWidth="1"/>
  </cols>
  <sheetData>
    <row r="1" spans="1:10" x14ac:dyDescent="0.2">
      <c r="A1" s="2" t="s">
        <v>6</v>
      </c>
      <c r="B1" s="4" t="s">
        <v>3</v>
      </c>
      <c r="C1" s="4" t="s">
        <v>4</v>
      </c>
      <c r="D1" s="4" t="s">
        <v>5</v>
      </c>
      <c r="E1" s="4" t="s">
        <v>14</v>
      </c>
    </row>
    <row r="2" spans="1:10" x14ac:dyDescent="0.2">
      <c r="B2" s="3" t="s">
        <v>0</v>
      </c>
      <c r="C2" s="1">
        <v>0.12</v>
      </c>
      <c r="D2" s="1">
        <v>0.22</v>
      </c>
      <c r="E2" s="7">
        <f>D2*D2</f>
        <v>4.8399999999999999E-2</v>
      </c>
    </row>
    <row r="3" spans="1:10" x14ac:dyDescent="0.2">
      <c r="B3" s="3" t="s">
        <v>1</v>
      </c>
      <c r="C3" s="1">
        <v>0.09</v>
      </c>
      <c r="D3" s="1">
        <v>0.14000000000000001</v>
      </c>
      <c r="E3" s="7">
        <f t="shared" ref="E3:E5" si="0">D3*D3</f>
        <v>1.9600000000000003E-2</v>
      </c>
    </row>
    <row r="4" spans="1:10" x14ac:dyDescent="0.2">
      <c r="B4" s="3" t="s">
        <v>2</v>
      </c>
      <c r="C4" s="1">
        <v>0.05</v>
      </c>
      <c r="D4" s="1">
        <v>0.08</v>
      </c>
      <c r="E4" s="7">
        <f t="shared" si="0"/>
        <v>6.4000000000000003E-3</v>
      </c>
    </row>
    <row r="5" spans="1:10" x14ac:dyDescent="0.2">
      <c r="B5" s="3" t="s">
        <v>28</v>
      </c>
      <c r="C5" s="1">
        <v>0.03</v>
      </c>
      <c r="D5" s="1">
        <v>0</v>
      </c>
      <c r="E5" s="7">
        <f t="shared" si="0"/>
        <v>0</v>
      </c>
    </row>
    <row r="6" spans="1:10" x14ac:dyDescent="0.2">
      <c r="G6" t="s">
        <v>17</v>
      </c>
    </row>
    <row r="7" spans="1:10" x14ac:dyDescent="0.2">
      <c r="B7" s="4" t="s">
        <v>7</v>
      </c>
      <c r="C7" s="3" t="s">
        <v>0</v>
      </c>
      <c r="D7" s="3" t="s">
        <v>1</v>
      </c>
      <c r="E7" s="3" t="s">
        <v>2</v>
      </c>
      <c r="G7" s="8"/>
      <c r="H7" s="8" cm="1">
        <f t="array" ref="H7:J7">TRANSPOSE(D2:D4)</f>
        <v>0.22</v>
      </c>
      <c r="I7" s="8">
        <v>0.14000000000000001</v>
      </c>
      <c r="J7">
        <v>0.08</v>
      </c>
    </row>
    <row r="8" spans="1:10" x14ac:dyDescent="0.2">
      <c r="B8" s="3" t="s">
        <v>0</v>
      </c>
      <c r="C8" s="8">
        <v>1</v>
      </c>
      <c r="D8" s="8">
        <f>C9</f>
        <v>0.5</v>
      </c>
      <c r="E8" s="8">
        <f>C10</f>
        <v>0.2</v>
      </c>
      <c r="G8" s="8" cm="1">
        <f t="array" ref="G8:G10">D2:D4</f>
        <v>0.22</v>
      </c>
      <c r="H8" s="8" cm="1">
        <f t="array" ref="H8:J10">G8:G10*H7:J7</f>
        <v>4.8399999999999999E-2</v>
      </c>
      <c r="I8" s="8">
        <v>3.0800000000000004E-2</v>
      </c>
      <c r="J8">
        <v>1.7600000000000001E-2</v>
      </c>
    </row>
    <row r="9" spans="1:10" x14ac:dyDescent="0.2">
      <c r="B9" s="3" t="s">
        <v>1</v>
      </c>
      <c r="C9" s="8">
        <v>0.5</v>
      </c>
      <c r="D9" s="8">
        <v>1</v>
      </c>
      <c r="E9" s="8">
        <v>0.5</v>
      </c>
      <c r="G9" s="8">
        <v>0.14000000000000001</v>
      </c>
      <c r="H9" s="8">
        <v>3.0800000000000004E-2</v>
      </c>
      <c r="I9" s="8">
        <v>1.9600000000000003E-2</v>
      </c>
      <c r="J9">
        <v>1.1200000000000002E-2</v>
      </c>
    </row>
    <row r="10" spans="1:10" x14ac:dyDescent="0.2">
      <c r="B10" s="3" t="s">
        <v>2</v>
      </c>
      <c r="C10" s="8">
        <v>0.2</v>
      </c>
      <c r="D10" s="8">
        <v>0.5</v>
      </c>
      <c r="E10" s="8">
        <v>1</v>
      </c>
      <c r="G10" s="8">
        <v>0.08</v>
      </c>
      <c r="H10" s="8">
        <v>1.7600000000000001E-2</v>
      </c>
      <c r="I10" s="8">
        <v>1.1200000000000002E-2</v>
      </c>
      <c r="J10">
        <v>6.4000000000000003E-3</v>
      </c>
    </row>
    <row r="12" spans="1:10" x14ac:dyDescent="0.2">
      <c r="B12" s="4" t="s">
        <v>15</v>
      </c>
      <c r="C12" s="3" t="s">
        <v>0</v>
      </c>
      <c r="D12" s="3" t="s">
        <v>1</v>
      </c>
      <c r="E12" s="3" t="s">
        <v>2</v>
      </c>
    </row>
    <row r="13" spans="1:10" x14ac:dyDescent="0.2">
      <c r="B13" s="3" t="s">
        <v>0</v>
      </c>
      <c r="C13" s="8" cm="1">
        <f t="array" ref="C13:E15">C8:E10*H8:J10</f>
        <v>4.8399999999999999E-2</v>
      </c>
      <c r="D13" s="8">
        <v>1.5400000000000002E-2</v>
      </c>
      <c r="E13" s="8">
        <v>3.5200000000000006E-3</v>
      </c>
    </row>
    <row r="14" spans="1:10" x14ac:dyDescent="0.2">
      <c r="B14" s="3" t="s">
        <v>1</v>
      </c>
      <c r="C14" s="8">
        <v>1.5400000000000002E-2</v>
      </c>
      <c r="D14" s="8">
        <v>1.9600000000000003E-2</v>
      </c>
      <c r="E14" s="8">
        <v>5.6000000000000008E-3</v>
      </c>
      <c r="H14" s="8"/>
      <c r="I14" s="8"/>
      <c r="J14" s="8"/>
    </row>
    <row r="15" spans="1:10" x14ac:dyDescent="0.2">
      <c r="B15" s="3" t="s">
        <v>2</v>
      </c>
      <c r="C15" s="8">
        <v>3.5200000000000006E-3</v>
      </c>
      <c r="D15" s="8">
        <v>5.6000000000000008E-3</v>
      </c>
      <c r="E15" s="8">
        <v>6.4000000000000003E-3</v>
      </c>
      <c r="H15" s="8"/>
      <c r="I15" s="8"/>
      <c r="J15" s="8"/>
    </row>
    <row r="16" spans="1:10" x14ac:dyDescent="0.2">
      <c r="H16" s="8"/>
      <c r="I16" s="8"/>
      <c r="J16" s="8"/>
    </row>
    <row r="17" spans="1:5" x14ac:dyDescent="0.2">
      <c r="A17" s="2" t="s">
        <v>10</v>
      </c>
      <c r="B17" s="3" t="s">
        <v>0</v>
      </c>
      <c r="C17" s="3" t="s">
        <v>1</v>
      </c>
      <c r="D17" s="3" t="s">
        <v>2</v>
      </c>
      <c r="E17" s="3" t="s">
        <v>28</v>
      </c>
    </row>
    <row r="18" spans="1:5" x14ac:dyDescent="0.2">
      <c r="A18" s="10" t="s">
        <v>8</v>
      </c>
      <c r="B18" s="14">
        <v>0.5055416332102789</v>
      </c>
      <c r="C18" s="14">
        <v>0.79389914686692076</v>
      </c>
      <c r="D18" s="14">
        <v>0.34336375568302374</v>
      </c>
      <c r="E18" s="14">
        <v>-0.64280354525939476</v>
      </c>
    </row>
    <row r="19" spans="1:5" x14ac:dyDescent="0.2">
      <c r="B19" s="5" t="s">
        <v>26</v>
      </c>
      <c r="C19" s="5" t="s">
        <v>26</v>
      </c>
      <c r="D19" s="5" t="s">
        <v>26</v>
      </c>
    </row>
    <row r="20" spans="1:5" x14ac:dyDescent="0.2">
      <c r="B20" s="16">
        <v>0</v>
      </c>
      <c r="C20" s="16">
        <v>0</v>
      </c>
      <c r="D20" s="16">
        <v>0</v>
      </c>
    </row>
    <row r="21" spans="1:5" x14ac:dyDescent="0.2">
      <c r="A21" s="2" t="s">
        <v>11</v>
      </c>
    </row>
    <row r="22" spans="1:5" x14ac:dyDescent="0.2">
      <c r="A22" s="10" t="s">
        <v>24</v>
      </c>
      <c r="B22" s="16">
        <f>SUM(B18:E18)</f>
        <v>1.0000009905008287</v>
      </c>
      <c r="C22" s="5" t="s">
        <v>9</v>
      </c>
      <c r="D22" s="6">
        <v>1</v>
      </c>
    </row>
    <row r="23" spans="1:5" x14ac:dyDescent="0.2">
      <c r="A23" s="10" t="s">
        <v>27</v>
      </c>
      <c r="B23" s="6" cm="1">
        <f t="array" ref="B23">MMULT(B18:E18,C2:C5)</f>
        <v>0.13000000062962569</v>
      </c>
      <c r="C23" s="5" t="s">
        <v>26</v>
      </c>
      <c r="D23" s="6">
        <v>0.13</v>
      </c>
    </row>
    <row r="25" spans="1:5" ht="32" x14ac:dyDescent="0.2">
      <c r="A25" s="2" t="s">
        <v>12</v>
      </c>
      <c r="B25" s="15" t="s">
        <v>14</v>
      </c>
      <c r="C25" s="15" t="s">
        <v>16</v>
      </c>
      <c r="D25" s="15" t="s">
        <v>25</v>
      </c>
      <c r="E25" s="15"/>
    </row>
    <row r="26" spans="1:5" x14ac:dyDescent="0.2">
      <c r="A26" s="10" t="s">
        <v>13</v>
      </c>
      <c r="B26" s="9">
        <f>SUMPRODUCT(B18:D18,MMULT(B18:D18,C13:E15))</f>
        <v>4.2114324500776103E-2</v>
      </c>
      <c r="C26" s="17">
        <f>SQRT(B26)</f>
        <v>0.20521774899061754</v>
      </c>
      <c r="D26" s="8">
        <f>(B23 - 3%) / C26</f>
        <v>0.48728728933771537</v>
      </c>
    </row>
    <row r="32" spans="1:5" x14ac:dyDescent="0.2">
      <c r="B32" s="2"/>
      <c r="C32" s="2"/>
    </row>
    <row r="33" spans="1:3" x14ac:dyDescent="0.2">
      <c r="A33" s="11"/>
      <c r="B33" s="11"/>
      <c r="C33" s="11"/>
    </row>
    <row r="34" spans="1:3" x14ac:dyDescent="0.2">
      <c r="A34" s="11"/>
      <c r="B34" s="11"/>
      <c r="C34" s="11"/>
    </row>
    <row r="35" spans="1:3" x14ac:dyDescent="0.2">
      <c r="A35" s="11"/>
      <c r="B35" s="11"/>
      <c r="C35" s="11"/>
    </row>
    <row r="36" spans="1:3" x14ac:dyDescent="0.2">
      <c r="A36" s="11"/>
      <c r="B36" s="11"/>
      <c r="C36" s="11"/>
    </row>
    <row r="37" spans="1:3" x14ac:dyDescent="0.2">
      <c r="A37" s="11"/>
      <c r="B37" s="11"/>
      <c r="C37" s="11"/>
    </row>
    <row r="38" spans="1:3" x14ac:dyDescent="0.2">
      <c r="A38" s="11"/>
      <c r="B38" s="11"/>
      <c r="C38" s="11"/>
    </row>
    <row r="39" spans="1:3" x14ac:dyDescent="0.2">
      <c r="A39" s="11"/>
      <c r="B39" s="11"/>
      <c r="C39" s="11"/>
    </row>
    <row r="40" spans="1:3" x14ac:dyDescent="0.2">
      <c r="A40" s="11"/>
      <c r="B40" s="11"/>
      <c r="C40" s="11"/>
    </row>
    <row r="41" spans="1:3" x14ac:dyDescent="0.2">
      <c r="A41" s="11"/>
      <c r="B41" s="11"/>
      <c r="C41" s="11"/>
    </row>
    <row r="42" spans="1:3" x14ac:dyDescent="0.2">
      <c r="A42" s="11"/>
      <c r="B42" s="11"/>
      <c r="C42" s="11"/>
    </row>
    <row r="43" spans="1:3" x14ac:dyDescent="0.2">
      <c r="A43" s="11"/>
      <c r="B43" s="11"/>
      <c r="C43" s="11"/>
    </row>
    <row r="44" spans="1:3" x14ac:dyDescent="0.2">
      <c r="A44" s="11"/>
      <c r="B44" s="11"/>
      <c r="C44" s="11"/>
    </row>
    <row r="45" spans="1:3" x14ac:dyDescent="0.2">
      <c r="A45" s="11"/>
      <c r="B45" s="11"/>
      <c r="C45" s="11"/>
    </row>
    <row r="46" spans="1:3" x14ac:dyDescent="0.2">
      <c r="A46" s="11"/>
      <c r="B46" s="11"/>
      <c r="C46" s="11"/>
    </row>
    <row r="47" spans="1:3" x14ac:dyDescent="0.2">
      <c r="A47" s="11"/>
      <c r="B47" s="11"/>
      <c r="C47" s="11"/>
    </row>
    <row r="48" spans="1:3" x14ac:dyDescent="0.2">
      <c r="A48" s="11"/>
      <c r="B48" s="11"/>
      <c r="C48" s="11"/>
    </row>
    <row r="49" spans="1:3" x14ac:dyDescent="0.2">
      <c r="A49" s="11"/>
      <c r="B49" s="11"/>
      <c r="C49" s="11"/>
    </row>
    <row r="50" spans="1:3" x14ac:dyDescent="0.2">
      <c r="A50" s="11"/>
      <c r="B50" s="11"/>
      <c r="C50" s="11"/>
    </row>
    <row r="51" spans="1:3" x14ac:dyDescent="0.2">
      <c r="A51" s="11"/>
      <c r="B51" s="11"/>
      <c r="C51" s="11"/>
    </row>
    <row r="52" spans="1:3" x14ac:dyDescent="0.2">
      <c r="A52" s="11"/>
      <c r="B52" s="11"/>
      <c r="C52" s="11"/>
    </row>
    <row r="53" spans="1:3" x14ac:dyDescent="0.2">
      <c r="A53" s="11"/>
      <c r="B53" s="11"/>
      <c r="C53" s="11"/>
    </row>
    <row r="54" spans="1:3" x14ac:dyDescent="0.2">
      <c r="A54" s="11"/>
      <c r="B54" s="11"/>
      <c r="C54" s="11"/>
    </row>
    <row r="55" spans="1:3" x14ac:dyDescent="0.2">
      <c r="A55" s="11"/>
      <c r="B55" s="11"/>
      <c r="C55" s="11"/>
    </row>
    <row r="56" spans="1:3" x14ac:dyDescent="0.2">
      <c r="A56" s="11"/>
      <c r="B56" s="11"/>
      <c r="C56" s="11"/>
    </row>
    <row r="57" spans="1:3" x14ac:dyDescent="0.2">
      <c r="A57" s="11"/>
      <c r="B57" s="11"/>
      <c r="C57" s="11"/>
    </row>
    <row r="58" spans="1:3" x14ac:dyDescent="0.2">
      <c r="A58" s="11"/>
      <c r="B58" s="11"/>
      <c r="C58" s="11"/>
    </row>
    <row r="59" spans="1:3" x14ac:dyDescent="0.2">
      <c r="A59" s="11"/>
      <c r="B59" s="11"/>
      <c r="C59" s="11"/>
    </row>
    <row r="60" spans="1:3" x14ac:dyDescent="0.2">
      <c r="A60" s="11"/>
      <c r="B60" s="11"/>
      <c r="C60" s="11"/>
    </row>
    <row r="61" spans="1:3" x14ac:dyDescent="0.2">
      <c r="A61" s="11"/>
      <c r="B61" s="11"/>
      <c r="C61" s="11"/>
    </row>
    <row r="62" spans="1:3" x14ac:dyDescent="0.2">
      <c r="A62" s="11"/>
      <c r="B62" s="11"/>
      <c r="C62" s="11"/>
    </row>
    <row r="63" spans="1:3" x14ac:dyDescent="0.2">
      <c r="A63" s="11"/>
      <c r="B63" s="11"/>
      <c r="C63" s="11"/>
    </row>
    <row r="64" spans="1:3" x14ac:dyDescent="0.2">
      <c r="A64" s="11"/>
      <c r="B64" s="11"/>
      <c r="C64" s="11"/>
    </row>
    <row r="65" spans="1:3" x14ac:dyDescent="0.2">
      <c r="A65" s="11"/>
      <c r="B65" s="11"/>
      <c r="C65" s="11"/>
    </row>
    <row r="66" spans="1:3" x14ac:dyDescent="0.2">
      <c r="A66" s="11"/>
      <c r="B66" s="11"/>
      <c r="C66" s="11"/>
    </row>
    <row r="67" spans="1:3" x14ac:dyDescent="0.2">
      <c r="A67" s="11"/>
      <c r="B67" s="11"/>
      <c r="C67" s="11"/>
    </row>
    <row r="68" spans="1:3" x14ac:dyDescent="0.2">
      <c r="A68" s="11"/>
      <c r="B68" s="11"/>
      <c r="C68" s="11"/>
    </row>
    <row r="69" spans="1:3" x14ac:dyDescent="0.2">
      <c r="A69" s="11"/>
      <c r="B69" s="11"/>
      <c r="C69" s="11"/>
    </row>
    <row r="70" spans="1:3" x14ac:dyDescent="0.2">
      <c r="A70" s="11"/>
      <c r="B70" s="11"/>
      <c r="C70" s="11"/>
    </row>
    <row r="71" spans="1:3" x14ac:dyDescent="0.2">
      <c r="A71" s="11"/>
      <c r="B71" s="11"/>
      <c r="C71" s="11"/>
    </row>
    <row r="72" spans="1:3" x14ac:dyDescent="0.2">
      <c r="A72" s="11"/>
      <c r="B72" s="11"/>
      <c r="C72" s="11"/>
    </row>
    <row r="73" spans="1:3" x14ac:dyDescent="0.2">
      <c r="A73" s="11"/>
      <c r="B73" s="11"/>
      <c r="C73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B592-B2DD-4914-9B74-F255C961ADE3}">
  <dimension ref="A1:B15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A2" t="s">
        <v>21</v>
      </c>
    </row>
    <row r="3" spans="1:2" x14ac:dyDescent="0.2">
      <c r="A3">
        <v>1</v>
      </c>
    </row>
    <row r="4" spans="1:2" x14ac:dyDescent="0.2">
      <c r="A4">
        <v>1</v>
      </c>
    </row>
    <row r="5" spans="1:2" x14ac:dyDescent="0.2">
      <c r="A5">
        <v>2</v>
      </c>
    </row>
    <row r="6" spans="1:2" x14ac:dyDescent="0.2">
      <c r="A6">
        <v>0.1</v>
      </c>
    </row>
    <row r="8" spans="1:2" x14ac:dyDescent="0.2">
      <c r="A8" s="12"/>
      <c r="B8" s="12"/>
    </row>
    <row r="9" spans="1:2" x14ac:dyDescent="0.2">
      <c r="A9" t="s">
        <v>22</v>
      </c>
    </row>
    <row r="10" spans="1:2" x14ac:dyDescent="0.2">
      <c r="A10" t="s">
        <v>23</v>
      </c>
    </row>
    <row r="15" spans="1:2" x14ac:dyDescent="0.2">
      <c r="B15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37470-D1B1-4CCC-8A9D-44ECDAD2020E}">
  <dimension ref="A1:B15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A2" t="s">
        <v>18</v>
      </c>
    </row>
    <row r="3" spans="1:2" x14ac:dyDescent="0.2">
      <c r="A3">
        <v>2</v>
      </c>
    </row>
    <row r="7" spans="1:2" x14ac:dyDescent="0.2">
      <c r="A7" s="13" t="s">
        <v>20</v>
      </c>
    </row>
    <row r="8" spans="1:2" x14ac:dyDescent="0.2">
      <c r="A8" s="12"/>
      <c r="B8" s="12"/>
    </row>
    <row r="9" spans="1:2" x14ac:dyDescent="0.2">
      <c r="A9" t="s">
        <v>19</v>
      </c>
    </row>
    <row r="10" spans="1:2" x14ac:dyDescent="0.2">
      <c r="A10" t="s">
        <v>4</v>
      </c>
    </row>
    <row r="15" spans="1:2" x14ac:dyDescent="0.2">
      <c r="B1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Huettner</dc:creator>
  <cp:lastModifiedBy>Frank Huettner</cp:lastModifiedBy>
  <dcterms:created xsi:type="dcterms:W3CDTF">2015-06-05T18:17:20Z</dcterms:created>
  <dcterms:modified xsi:type="dcterms:W3CDTF">2026-03-08T10:49:52Z</dcterms:modified>
</cp:coreProperties>
</file>